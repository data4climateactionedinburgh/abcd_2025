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d3d5b2dfb45b98f/Documents/D4CAE/D4CAE_Data/ABCD_2025/data/ECCAN/"/>
    </mc:Choice>
  </mc:AlternateContent>
  <xr:revisionPtr revIDLastSave="92" documentId="8_{10A9276B-5309-4826-9EB8-159732E9612B}" xr6:coauthVersionLast="47" xr6:coauthVersionMax="47" xr10:uidLastSave="{0191ABD4-9490-4B57-BB33-82BC382EB974}"/>
  <bookViews>
    <workbookView xWindow="1830" yWindow="1830" windowWidth="20844" windowHeight="10308" xr2:uid="{608D7C9B-50D9-4ECA-8A4E-A7EE7665EDA1}"/>
  </bookViews>
  <sheets>
    <sheet name="Year 1 metrics" sheetId="9" r:id="rId1"/>
    <sheet name="Survey Results" sheetId="5" r:id="rId2"/>
    <sheet name="Questionnaire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9" l="1"/>
  <c r="G13" i="9"/>
  <c r="G25" i="9"/>
  <c r="G24" i="9"/>
  <c r="G19" i="9" l="1"/>
  <c r="G20" i="9"/>
  <c r="G21" i="9"/>
  <c r="G22" i="9"/>
  <c r="G23" i="9"/>
  <c r="G26" i="9"/>
  <c r="G5" i="9"/>
  <c r="J21" i="9"/>
  <c r="G4" i="9"/>
  <c r="G3" i="9"/>
  <c r="J12" i="9"/>
  <c r="G27" i="9"/>
  <c r="J6" i="5" l="1"/>
  <c r="K6" i="5"/>
  <c r="L6" i="5"/>
  <c r="M6" i="5"/>
  <c r="N6" i="5"/>
  <c r="J7" i="5"/>
  <c r="K7" i="5"/>
  <c r="L7" i="5"/>
  <c r="M7" i="5"/>
  <c r="N7" i="5"/>
  <c r="J8" i="5"/>
  <c r="K8" i="5"/>
  <c r="L8" i="5"/>
  <c r="M8" i="5"/>
  <c r="N8" i="5"/>
  <c r="J9" i="5"/>
  <c r="K9" i="5"/>
  <c r="L9" i="5"/>
  <c r="M9" i="5"/>
  <c r="N9" i="5"/>
  <c r="K5" i="5"/>
  <c r="L5" i="5"/>
  <c r="M5" i="5"/>
  <c r="N5" i="5"/>
  <c r="J5" i="5"/>
  <c r="J12" i="5" l="1"/>
  <c r="N12" i="5"/>
  <c r="M12" i="5"/>
  <c r="M10" i="5"/>
  <c r="N10" i="5"/>
  <c r="K10" i="5"/>
  <c r="K12" i="5" s="1"/>
  <c r="L10" i="5"/>
  <c r="L12" i="5" s="1"/>
  <c r="J10" i="5"/>
</calcChain>
</file>

<file path=xl/sharedStrings.xml><?xml version="1.0" encoding="utf-8"?>
<sst xmlns="http://schemas.openxmlformats.org/spreadsheetml/2006/main" count="76" uniqueCount="59">
  <si>
    <t>Live survey link:</t>
  </si>
  <si>
    <t>https://www.menti.com/alwiht82ak3z</t>
  </si>
  <si>
    <t>#</t>
  </si>
  <si>
    <t>Date</t>
  </si>
  <si>
    <t>Knowledge</t>
  </si>
  <si>
    <t>Skills</t>
  </si>
  <si>
    <t>Capacity</t>
  </si>
  <si>
    <t>Confidence</t>
  </si>
  <si>
    <t>Changed ways</t>
  </si>
  <si>
    <t>Count</t>
  </si>
  <si>
    <t>Score</t>
  </si>
  <si>
    <t>Total</t>
  </si>
  <si>
    <t>Quantity</t>
  </si>
  <si>
    <t>Category</t>
  </si>
  <si>
    <t>Q1</t>
  </si>
  <si>
    <t>Q2</t>
  </si>
  <si>
    <t>Q3</t>
  </si>
  <si>
    <t>Q4</t>
  </si>
  <si>
    <t>Events, workshops or trainings</t>
  </si>
  <si>
    <t>People engaged</t>
  </si>
  <si>
    <t>Community groups development supported</t>
  </si>
  <si>
    <t>General areas</t>
  </si>
  <si>
    <t>Key stats</t>
  </si>
  <si>
    <t>Stat Plans supported</t>
  </si>
  <si>
    <t>Climate champions trained</t>
  </si>
  <si>
    <t>Sub-networks - how many and £</t>
  </si>
  <si>
    <t>Total funds distributed for partnerships</t>
  </si>
  <si>
    <t>Total funds distributed to projects</t>
  </si>
  <si>
    <t>GreenLight - number projects funded and £</t>
  </si>
  <si>
    <t>Group Membership nos</t>
  </si>
  <si>
    <t>Total projects</t>
  </si>
  <si>
    <t>Key Partners</t>
  </si>
  <si>
    <t>Individual Membership nos</t>
  </si>
  <si>
    <t>Website - Pageviews</t>
  </si>
  <si>
    <t>Food</t>
  </si>
  <si>
    <t>Transport</t>
  </si>
  <si>
    <t>Circular economy</t>
  </si>
  <si>
    <t>Energy and retrofit</t>
  </si>
  <si>
    <t>Greenspace and biodiversity</t>
  </si>
  <si>
    <t>Climate stories</t>
  </si>
  <si>
    <t>Greenlight project themes</t>
  </si>
  <si>
    <t>Sub-network</t>
  </si>
  <si>
    <t>Art and culture</t>
  </si>
  <si>
    <t>Geographical</t>
  </si>
  <si>
    <t>£</t>
  </si>
  <si>
    <t>no data</t>
  </si>
  <si>
    <t>Newsletter subscribers (change in quarter)</t>
  </si>
  <si>
    <t>Social media - Facebook followers</t>
  </si>
  <si>
    <t>Social media - Instagram followers</t>
  </si>
  <si>
    <t>Social media - LinkedIn followers</t>
  </si>
  <si>
    <t>Survey results - see next tab</t>
  </si>
  <si>
    <t>Added by D4CAE</t>
  </si>
  <si>
    <t>5 key questions about your involvement/contact with ECCAN over the past 12 months, to help us serve your community better</t>
  </si>
  <si>
    <r>
      <t xml:space="preserve">Over the past year, through your involvement with ECCAN, has your (or your organisation's) </t>
    </r>
    <r>
      <rPr>
        <b/>
        <i/>
        <u/>
        <sz val="11"/>
        <color theme="1"/>
        <rFont val="Aptos Narrow"/>
        <family val="2"/>
        <scheme val="minor"/>
      </rPr>
      <t>knowledge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of the climate emergency increased?</t>
    </r>
  </si>
  <si>
    <t xml:space="preserve">1= not increased; 5 = increased a large amount. </t>
  </si>
  <si>
    <t>Number of responses</t>
  </si>
  <si>
    <t>Median score</t>
  </si>
  <si>
    <t>Mean score</t>
  </si>
  <si>
    <t>Community groups supported to access 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</si>
</sst>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72" formatCode="0.0"/>
    <numFmt numFmtId="175" formatCode="_-[$£-809]* #,##0_-;\-[$£-809]* #,##0_-;_-[$£-809]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394"/>
        <bgColor indexed="64"/>
      </patternFill>
    </fill>
    <fill>
      <patternFill patternType="solid">
        <fgColor rgb="FFB1D78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2" fillId="0" borderId="0" xfId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5" fillId="0" borderId="6" xfId="0" applyFont="1" applyBorder="1" applyAlignment="1">
      <alignment vertical="top" wrapText="1"/>
    </xf>
    <xf numFmtId="0" fontId="0" fillId="0" borderId="7" xfId="0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8" xfId="0" applyFont="1" applyBorder="1" applyAlignment="1">
      <alignment vertical="top"/>
    </xf>
    <xf numFmtId="164" fontId="0" fillId="0" borderId="0" xfId="2" applyNumberFormat="1" applyFont="1" applyAlignment="1">
      <alignment vertical="top"/>
    </xf>
    <xf numFmtId="0" fontId="0" fillId="0" borderId="3" xfId="0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2" fillId="0" borderId="0" xfId="1"/>
    <xf numFmtId="0" fontId="0" fillId="0" borderId="5" xfId="0" applyBorder="1" applyAlignment="1">
      <alignment horizontal="center" vertical="top"/>
    </xf>
    <xf numFmtId="164" fontId="0" fillId="0" borderId="7" xfId="2" applyNumberFormat="1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4" borderId="0" xfId="0" applyFill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164" fontId="0" fillId="4" borderId="0" xfId="2" applyNumberFormat="1" applyFont="1" applyFill="1" applyAlignment="1">
      <alignment horizontal="center" vertical="top"/>
    </xf>
    <xf numFmtId="164" fontId="3" fillId="0" borderId="0" xfId="2" applyNumberFormat="1" applyFont="1" applyBorder="1" applyAlignment="1">
      <alignment vertical="top"/>
    </xf>
    <xf numFmtId="0" fontId="8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172" fontId="0" fillId="0" borderId="1" xfId="0" applyNumberFormat="1" applyBorder="1" applyAlignment="1">
      <alignment vertical="top"/>
    </xf>
    <xf numFmtId="0" fontId="0" fillId="0" borderId="0" xfId="0" applyFont="1" applyAlignment="1">
      <alignment vertical="top"/>
    </xf>
    <xf numFmtId="0" fontId="6" fillId="0" borderId="1" xfId="0" applyFont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0" fillId="4" borderId="1" xfId="0" applyFill="1" applyBorder="1" applyAlignment="1">
      <alignment horizontal="right" vertical="top"/>
    </xf>
    <xf numFmtId="0" fontId="0" fillId="4" borderId="5" xfId="0" applyFill="1" applyBorder="1" applyAlignment="1">
      <alignment horizontal="right" vertical="top"/>
    </xf>
    <xf numFmtId="175" fontId="0" fillId="4" borderId="11" xfId="2" applyNumberFormat="1" applyFont="1" applyFill="1" applyBorder="1" applyAlignment="1">
      <alignment horizontal="center" vertical="top"/>
    </xf>
    <xf numFmtId="3" fontId="0" fillId="4" borderId="13" xfId="0" applyNumberFormat="1" applyFill="1" applyBorder="1" applyAlignment="1">
      <alignment horizontal="center" vertical="top"/>
    </xf>
    <xf numFmtId="0" fontId="0" fillId="4" borderId="10" xfId="0" applyFill="1" applyBorder="1" applyAlignment="1">
      <alignment horizontal="center" vertical="top"/>
    </xf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3" fontId="0" fillId="4" borderId="12" xfId="0" applyNumberFormat="1" applyFill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164" fontId="1" fillId="0" borderId="9" xfId="2" applyNumberFormat="1" applyFont="1" applyBorder="1" applyAlignment="1">
      <alignment vertical="top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D78C"/>
      <color rgb="FFD8E394"/>
      <color rgb="FFED9BC6"/>
      <color rgb="FFE985C8"/>
      <color rgb="FFE9F579"/>
      <color rgb="FFEAB1B0"/>
      <color rgb="FFDE97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nti.com/alwiht82ak3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2E3E-A770-4EC4-92D7-7D4527182204}">
  <dimension ref="A1:N29"/>
  <sheetViews>
    <sheetView tabSelected="1" topLeftCell="A14" workbookViewId="0">
      <selection activeCell="J21" sqref="I21:J21"/>
    </sheetView>
  </sheetViews>
  <sheetFormatPr defaultColWidth="9.15625" defaultRowHeight="14.4" x14ac:dyDescent="0.55000000000000004"/>
  <cols>
    <col min="1" max="1" width="35" style="1" customWidth="1"/>
    <col min="2" max="2" width="37.26171875" style="1" customWidth="1"/>
    <col min="3" max="5" width="9.15625" style="1"/>
    <col min="6" max="6" width="9.578125" style="1" bestFit="1" customWidth="1"/>
    <col min="7" max="7" width="11.89453125" style="1" bestFit="1" customWidth="1"/>
    <col min="8" max="8" width="9.15625" style="1"/>
    <col min="9" max="9" width="26.41796875" style="1" bestFit="1" customWidth="1"/>
    <col min="10" max="10" width="11.41796875" style="1" bestFit="1" customWidth="1"/>
    <col min="11" max="16384" width="9.15625" style="1"/>
  </cols>
  <sheetData>
    <row r="1" spans="1:14" x14ac:dyDescent="0.55000000000000004">
      <c r="A1" s="11"/>
      <c r="B1" s="11"/>
      <c r="C1" s="12" t="s">
        <v>12</v>
      </c>
      <c r="D1" s="12"/>
      <c r="E1" s="12"/>
      <c r="F1" s="12"/>
    </row>
    <row r="2" spans="1:14" x14ac:dyDescent="0.55000000000000004">
      <c r="A2" s="13" t="s">
        <v>13</v>
      </c>
      <c r="B2" s="13"/>
      <c r="C2" s="47" t="s">
        <v>14</v>
      </c>
      <c r="D2" s="47" t="s">
        <v>15</v>
      </c>
      <c r="E2" s="47" t="s">
        <v>16</v>
      </c>
      <c r="F2" s="47" t="s">
        <v>17</v>
      </c>
      <c r="G2" s="48" t="s">
        <v>11</v>
      </c>
    </row>
    <row r="3" spans="1:14" x14ac:dyDescent="0.55000000000000004">
      <c r="A3" s="11" t="s">
        <v>18</v>
      </c>
      <c r="B3" s="11"/>
      <c r="C3" s="49">
        <v>6</v>
      </c>
      <c r="D3" s="49">
        <v>6</v>
      </c>
      <c r="E3" s="49">
        <v>10</v>
      </c>
      <c r="F3" s="49">
        <v>10</v>
      </c>
      <c r="G3" s="50">
        <f>SUM(C3:F3)</f>
        <v>32</v>
      </c>
    </row>
    <row r="4" spans="1:14" x14ac:dyDescent="0.55000000000000004">
      <c r="A4" s="11" t="s">
        <v>19</v>
      </c>
      <c r="B4" s="11"/>
      <c r="C4" s="49">
        <v>150</v>
      </c>
      <c r="D4" s="49">
        <v>80</v>
      </c>
      <c r="E4" s="49">
        <v>112</v>
      </c>
      <c r="F4" s="49">
        <v>185</v>
      </c>
      <c r="G4" s="50">
        <f>SUM(C4:F4)</f>
        <v>527</v>
      </c>
    </row>
    <row r="5" spans="1:14" x14ac:dyDescent="0.55000000000000004">
      <c r="A5" s="11" t="s">
        <v>20</v>
      </c>
      <c r="B5" s="11"/>
      <c r="C5" s="49">
        <v>2</v>
      </c>
      <c r="D5" s="49"/>
      <c r="E5" s="49">
        <v>27</v>
      </c>
      <c r="F5" s="49">
        <v>5</v>
      </c>
      <c r="G5" s="50">
        <f>SUM(C5:F5)</f>
        <v>34</v>
      </c>
      <c r="I5" s="24" t="s">
        <v>40</v>
      </c>
      <c r="J5" s="17"/>
    </row>
    <row r="6" spans="1:14" ht="14.7" thickBot="1" x14ac:dyDescent="0.6">
      <c r="A6" s="11"/>
      <c r="B6" s="11"/>
      <c r="C6" s="16"/>
      <c r="D6" s="16"/>
      <c r="E6" s="16"/>
      <c r="F6" s="16"/>
      <c r="G6" s="51"/>
      <c r="I6" s="25" t="s">
        <v>36</v>
      </c>
      <c r="J6" s="19">
        <v>4</v>
      </c>
    </row>
    <row r="7" spans="1:14" ht="14.7" thickBot="1" x14ac:dyDescent="0.6">
      <c r="A7" s="14" t="s">
        <v>28</v>
      </c>
      <c r="B7" s="15" t="s">
        <v>27</v>
      </c>
      <c r="C7" s="16"/>
      <c r="D7" s="16"/>
      <c r="E7" s="16"/>
      <c r="F7" s="16"/>
      <c r="G7" s="52">
        <v>121805</v>
      </c>
      <c r="I7" s="25" t="s">
        <v>37</v>
      </c>
      <c r="J7" s="19">
        <v>3</v>
      </c>
    </row>
    <row r="8" spans="1:14" ht="14.7" thickBot="1" x14ac:dyDescent="0.6">
      <c r="A8" s="18"/>
      <c r="B8" s="11" t="s">
        <v>30</v>
      </c>
      <c r="C8" s="12"/>
      <c r="D8" s="12"/>
      <c r="E8" s="12"/>
      <c r="F8" s="12"/>
      <c r="G8" s="54">
        <v>32</v>
      </c>
      <c r="I8" s="25" t="s">
        <v>34</v>
      </c>
      <c r="J8" s="19">
        <v>7</v>
      </c>
    </row>
    <row r="9" spans="1:14" ht="14.7" thickBot="1" x14ac:dyDescent="0.6">
      <c r="A9" s="20"/>
      <c r="B9" s="21" t="s">
        <v>19</v>
      </c>
      <c r="C9" s="22"/>
      <c r="D9" s="22"/>
      <c r="E9" s="22"/>
      <c r="F9" s="22"/>
      <c r="G9" s="53">
        <v>3843</v>
      </c>
      <c r="I9" s="25" t="s">
        <v>38</v>
      </c>
      <c r="J9" s="19">
        <v>9</v>
      </c>
    </row>
    <row r="10" spans="1:14" ht="14.7" thickBot="1" x14ac:dyDescent="0.6">
      <c r="A10" s="18"/>
      <c r="B10" s="55"/>
      <c r="C10" s="56"/>
      <c r="D10" s="56"/>
      <c r="E10" s="56"/>
      <c r="F10" s="56"/>
      <c r="G10" s="57"/>
      <c r="I10" s="25" t="s">
        <v>35</v>
      </c>
      <c r="J10" s="19">
        <v>7</v>
      </c>
    </row>
    <row r="11" spans="1:14" x14ac:dyDescent="0.55000000000000004">
      <c r="A11" s="14" t="s">
        <v>25</v>
      </c>
      <c r="B11" s="15" t="s">
        <v>26</v>
      </c>
      <c r="C11" s="16"/>
      <c r="D11" s="16"/>
      <c r="E11" s="16"/>
      <c r="F11" s="16"/>
      <c r="G11" s="52">
        <v>38097</v>
      </c>
      <c r="I11" s="25" t="s">
        <v>39</v>
      </c>
      <c r="J11" s="19">
        <v>2</v>
      </c>
    </row>
    <row r="12" spans="1:14" x14ac:dyDescent="0.55000000000000004">
      <c r="A12" s="18"/>
      <c r="B12" s="11" t="s">
        <v>31</v>
      </c>
      <c r="C12" s="12"/>
      <c r="D12" s="12"/>
      <c r="E12" s="12"/>
      <c r="F12" s="12"/>
      <c r="G12" s="35">
        <v>6</v>
      </c>
      <c r="I12" s="26" t="s">
        <v>11</v>
      </c>
      <c r="J12" s="27">
        <f>SUM(J6:J11)</f>
        <v>32</v>
      </c>
    </row>
    <row r="13" spans="1:14" x14ac:dyDescent="0.55000000000000004">
      <c r="A13" s="20"/>
      <c r="B13" s="21" t="s">
        <v>19</v>
      </c>
      <c r="C13" s="22"/>
      <c r="D13" s="22"/>
      <c r="E13" s="22"/>
      <c r="F13" s="22">
        <v>182</v>
      </c>
      <c r="G13" s="36">
        <f>SUM(C13:F13)</f>
        <v>182</v>
      </c>
    </row>
    <row r="14" spans="1:14" ht="28.8" x14ac:dyDescent="0.55000000000000004">
      <c r="A14" s="11" t="s">
        <v>58</v>
      </c>
      <c r="B14" s="11"/>
      <c r="C14" s="12">
        <v>1</v>
      </c>
      <c r="D14" s="12">
        <v>2</v>
      </c>
      <c r="E14" s="12"/>
      <c r="F14" s="12"/>
      <c r="G14" s="34">
        <f>SUM(C14:F14)</f>
        <v>3</v>
      </c>
      <c r="I14" s="24" t="s">
        <v>41</v>
      </c>
      <c r="J14" s="29" t="s">
        <v>44</v>
      </c>
    </row>
    <row r="15" spans="1:14" x14ac:dyDescent="0.55000000000000004">
      <c r="A15" s="11"/>
      <c r="B15" s="11" t="s">
        <v>21</v>
      </c>
      <c r="C15" s="12" t="s">
        <v>34</v>
      </c>
      <c r="D15" s="12" t="s">
        <v>35</v>
      </c>
      <c r="E15" s="12"/>
      <c r="F15" s="12"/>
      <c r="G15" s="34"/>
      <c r="I15" s="25" t="s">
        <v>37</v>
      </c>
      <c r="J15" s="30">
        <v>15000</v>
      </c>
    </row>
    <row r="16" spans="1:14" x14ac:dyDescent="0.55000000000000004">
      <c r="A16" s="31"/>
      <c r="B16" s="31"/>
      <c r="C16" s="32"/>
      <c r="D16" s="32"/>
      <c r="E16" s="32"/>
      <c r="F16" s="32"/>
      <c r="G16" s="34"/>
      <c r="I16" s="25" t="s">
        <v>34</v>
      </c>
      <c r="J16" s="30">
        <v>10000</v>
      </c>
      <c r="N16" s="28"/>
    </row>
    <row r="17" spans="1:14" x14ac:dyDescent="0.55000000000000004">
      <c r="A17" s="31"/>
      <c r="B17" s="31"/>
      <c r="C17" s="32"/>
      <c r="D17" s="32"/>
      <c r="E17" s="32"/>
      <c r="F17" s="32"/>
      <c r="G17" s="34"/>
      <c r="I17" s="25" t="s">
        <v>42</v>
      </c>
      <c r="J17" s="30">
        <v>5006</v>
      </c>
      <c r="N17" s="28"/>
    </row>
    <row r="18" spans="1:14" x14ac:dyDescent="0.55000000000000004">
      <c r="A18" s="11" t="s">
        <v>22</v>
      </c>
      <c r="B18" s="11"/>
      <c r="C18" s="12"/>
      <c r="D18" s="12"/>
      <c r="E18" s="12"/>
      <c r="F18" s="12"/>
      <c r="G18" s="34"/>
      <c r="I18" s="25" t="s">
        <v>35</v>
      </c>
      <c r="J18" s="30">
        <v>259</v>
      </c>
      <c r="N18" s="28"/>
    </row>
    <row r="19" spans="1:14" x14ac:dyDescent="0.55000000000000004">
      <c r="A19" s="11"/>
      <c r="B19" s="11" t="s">
        <v>23</v>
      </c>
      <c r="C19" s="12"/>
      <c r="D19" s="12"/>
      <c r="E19" s="12"/>
      <c r="F19" s="12">
        <v>1</v>
      </c>
      <c r="G19" s="34">
        <f>SUM(C19:F19)</f>
        <v>1</v>
      </c>
      <c r="I19" s="25" t="s">
        <v>43</v>
      </c>
      <c r="J19" s="30">
        <v>4500</v>
      </c>
    </row>
    <row r="20" spans="1:14" x14ac:dyDescent="0.55000000000000004">
      <c r="A20" s="11"/>
      <c r="B20" s="11" t="s">
        <v>24</v>
      </c>
      <c r="C20" s="12"/>
      <c r="D20" s="12"/>
      <c r="E20" s="12"/>
      <c r="F20" s="12">
        <v>12</v>
      </c>
      <c r="G20" s="34">
        <f>SUM(C20:F20)</f>
        <v>12</v>
      </c>
      <c r="I20" s="25" t="s">
        <v>36</v>
      </c>
      <c r="J20" s="30">
        <v>3332</v>
      </c>
    </row>
    <row r="21" spans="1:14" x14ac:dyDescent="0.55000000000000004">
      <c r="A21" s="11"/>
      <c r="B21" s="11" t="s">
        <v>29</v>
      </c>
      <c r="C21" s="12"/>
      <c r="D21" s="12"/>
      <c r="E21" s="12"/>
      <c r="F21" s="12">
        <v>150</v>
      </c>
      <c r="G21" s="34">
        <f>SUM(C21:F21)</f>
        <v>150</v>
      </c>
      <c r="I21" s="58" t="s">
        <v>11</v>
      </c>
      <c r="J21" s="59">
        <f>SUM(J15:J20)</f>
        <v>38097</v>
      </c>
    </row>
    <row r="22" spans="1:14" x14ac:dyDescent="0.55000000000000004">
      <c r="A22" s="11"/>
      <c r="B22" s="11" t="s">
        <v>32</v>
      </c>
      <c r="C22" s="12"/>
      <c r="D22" s="12"/>
      <c r="E22" s="12"/>
      <c r="F22" s="12">
        <v>294</v>
      </c>
      <c r="G22" s="34">
        <f>SUM(C22:F22)</f>
        <v>294</v>
      </c>
      <c r="I22" s="33"/>
      <c r="J22" s="38"/>
    </row>
    <row r="23" spans="1:14" x14ac:dyDescent="0.55000000000000004">
      <c r="B23" s="11" t="s">
        <v>47</v>
      </c>
      <c r="F23" s="1">
        <v>165</v>
      </c>
      <c r="G23" s="34">
        <f>SUM(C23:F23)</f>
        <v>165</v>
      </c>
      <c r="I23" s="33"/>
      <c r="J23" s="38"/>
    </row>
    <row r="24" spans="1:14" x14ac:dyDescent="0.55000000000000004">
      <c r="B24" s="11" t="s">
        <v>48</v>
      </c>
      <c r="F24" s="1">
        <v>726</v>
      </c>
      <c r="G24" s="34">
        <f>SUM(C24:F24)</f>
        <v>726</v>
      </c>
    </row>
    <row r="25" spans="1:14" x14ac:dyDescent="0.55000000000000004">
      <c r="B25" s="11" t="s">
        <v>49</v>
      </c>
      <c r="F25" s="1">
        <v>285</v>
      </c>
      <c r="G25" s="34">
        <f>SUM(C25:F25)</f>
        <v>285</v>
      </c>
    </row>
    <row r="26" spans="1:14" x14ac:dyDescent="0.55000000000000004">
      <c r="B26" s="11" t="s">
        <v>46</v>
      </c>
      <c r="C26" s="1">
        <v>670</v>
      </c>
      <c r="D26" s="1">
        <v>93</v>
      </c>
      <c r="E26" s="1">
        <v>153</v>
      </c>
      <c r="F26" s="1">
        <v>-18</v>
      </c>
      <c r="G26" s="34">
        <f>SUM(C26:F26)</f>
        <v>898</v>
      </c>
    </row>
    <row r="27" spans="1:14" x14ac:dyDescent="0.55000000000000004">
      <c r="B27" s="1" t="s">
        <v>33</v>
      </c>
      <c r="C27" s="46" t="s">
        <v>45</v>
      </c>
      <c r="D27" s="46" t="s">
        <v>45</v>
      </c>
      <c r="E27" s="46" t="s">
        <v>45</v>
      </c>
      <c r="F27" s="23">
        <v>5700</v>
      </c>
      <c r="G27" s="37">
        <f>SUM(C27:F27)</f>
        <v>5700</v>
      </c>
    </row>
    <row r="29" spans="1:14" x14ac:dyDescent="0.55000000000000004">
      <c r="A29" s="1" t="s">
        <v>50</v>
      </c>
    </row>
  </sheetData>
  <dataValidations count="1">
    <dataValidation type="list" allowBlank="1" showInputMessage="1" showErrorMessage="1" sqref="C15:F15" xr:uid="{0DE86D65-83B7-442B-8CC1-6E17AF65E5DD}">
      <formula1>"Energy, Food, Biodiversity &amp; Greenspace, Transport, Youth, Arts &amp; Culture, Circ Econ"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93EE-CD97-4FA4-8901-58E993D5745E}">
  <dimension ref="A1:AF40"/>
  <sheetViews>
    <sheetView workbookViewId="0">
      <selection activeCell="I15" sqref="I15"/>
    </sheetView>
  </sheetViews>
  <sheetFormatPr defaultColWidth="9.15625" defaultRowHeight="14.4" x14ac:dyDescent="0.55000000000000004"/>
  <cols>
    <col min="1" max="1" width="9.15625" style="10"/>
    <col min="2" max="2" width="10.41796875" style="1" bestFit="1" customWidth="1"/>
    <col min="3" max="3" width="10.578125" style="10" bestFit="1" customWidth="1"/>
    <col min="4" max="4" width="5.68359375" style="10" bestFit="1" customWidth="1"/>
    <col min="5" max="5" width="8.578125" style="10" bestFit="1" customWidth="1"/>
    <col min="6" max="6" width="10.83984375" style="10" bestFit="1" customWidth="1"/>
    <col min="7" max="7" width="13.68359375" style="10" bestFit="1" customWidth="1"/>
    <col min="8" max="8" width="9.15625" style="1"/>
    <col min="9" max="9" width="11.47265625" style="1" customWidth="1"/>
    <col min="10" max="14" width="11.20703125" style="1" customWidth="1"/>
    <col min="15" max="15" width="9.15625" style="1"/>
    <col min="16" max="16" width="10.26171875" style="1" bestFit="1" customWidth="1"/>
    <col min="17" max="17" width="16.83984375" style="1" bestFit="1" customWidth="1"/>
    <col min="18" max="18" width="6.83984375" style="1" bestFit="1" customWidth="1"/>
    <col min="19" max="19" width="3.83984375" style="1" bestFit="1" customWidth="1"/>
    <col min="20" max="21" width="2" style="1" bestFit="1" customWidth="1"/>
    <col min="22" max="22" width="6.83984375" style="1" bestFit="1" customWidth="1"/>
    <col min="23" max="23" width="3.83984375" style="1" bestFit="1" customWidth="1"/>
    <col min="24" max="24" width="2" style="1" bestFit="1" customWidth="1"/>
    <col min="25" max="25" width="6.83984375" style="1" bestFit="1" customWidth="1"/>
    <col min="26" max="26" width="3.83984375" style="1" bestFit="1" customWidth="1"/>
    <col min="27" max="27" width="6.83984375" style="1" bestFit="1" customWidth="1"/>
    <col min="28" max="28" width="3.83984375" style="1" bestFit="1" customWidth="1"/>
    <col min="29" max="29" width="6.83984375" style="1" bestFit="1" customWidth="1"/>
    <col min="30" max="30" width="9.15625" style="1"/>
    <col min="31" max="31" width="12.15625" style="1" bestFit="1" customWidth="1"/>
    <col min="32" max="32" width="11.26171875" style="1" bestFit="1" customWidth="1"/>
    <col min="33" max="16384" width="9.15625" style="1"/>
  </cols>
  <sheetData>
    <row r="1" spans="1:32" x14ac:dyDescent="0.55000000000000004">
      <c r="A1" s="2" t="s">
        <v>2</v>
      </c>
      <c r="B1" s="3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I1" s="1" t="s">
        <v>0</v>
      </c>
      <c r="J1" s="5" t="s">
        <v>1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x14ac:dyDescent="0.55000000000000004">
      <c r="A2" s="2">
        <v>5</v>
      </c>
      <c r="B2" s="4">
        <v>45560</v>
      </c>
      <c r="C2" s="2">
        <v>1</v>
      </c>
      <c r="D2" s="2">
        <v>1</v>
      </c>
      <c r="E2" s="2">
        <v>2</v>
      </c>
      <c r="F2" s="2">
        <v>1</v>
      </c>
      <c r="G2" s="2">
        <v>1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55000000000000004">
      <c r="A3" s="2">
        <v>6</v>
      </c>
      <c r="B3" s="4">
        <v>45560</v>
      </c>
      <c r="C3" s="2">
        <v>2</v>
      </c>
      <c r="D3" s="2">
        <v>1</v>
      </c>
      <c r="E3" s="2">
        <v>2</v>
      </c>
      <c r="F3" s="2">
        <v>1</v>
      </c>
      <c r="G3" s="2">
        <v>1</v>
      </c>
      <c r="J3" s="8" t="s">
        <v>9</v>
      </c>
      <c r="K3" s="8"/>
      <c r="L3" s="8"/>
      <c r="M3" s="8"/>
      <c r="N3" s="8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55000000000000004">
      <c r="A4" s="2">
        <v>7</v>
      </c>
      <c r="B4" s="4">
        <v>45560</v>
      </c>
      <c r="C4" s="2">
        <v>2</v>
      </c>
      <c r="D4" s="2">
        <v>2</v>
      </c>
      <c r="E4" s="2">
        <v>3</v>
      </c>
      <c r="F4" s="2">
        <v>2</v>
      </c>
      <c r="G4" s="2">
        <v>1</v>
      </c>
      <c r="I4" s="6" t="s">
        <v>10</v>
      </c>
      <c r="J4" s="9" t="s">
        <v>4</v>
      </c>
      <c r="K4" s="9" t="s">
        <v>5</v>
      </c>
      <c r="L4" s="9" t="s">
        <v>6</v>
      </c>
      <c r="M4" s="9" t="s">
        <v>7</v>
      </c>
      <c r="N4" s="9" t="s">
        <v>8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55000000000000004">
      <c r="A5" s="2">
        <v>8</v>
      </c>
      <c r="B5" s="4">
        <v>45560</v>
      </c>
      <c r="C5" s="2">
        <v>2</v>
      </c>
      <c r="D5" s="2">
        <v>2</v>
      </c>
      <c r="E5" s="2">
        <v>3</v>
      </c>
      <c r="F5" s="2">
        <v>3</v>
      </c>
      <c r="G5" s="2">
        <v>3</v>
      </c>
      <c r="I5" s="7">
        <v>1</v>
      </c>
      <c r="J5" s="41">
        <f>COUNTIF(C:C,$I5)</f>
        <v>5</v>
      </c>
      <c r="K5" s="41">
        <f>COUNTIF(D:D,$I5)</f>
        <v>7</v>
      </c>
      <c r="L5" s="41">
        <f>COUNTIF(E:E,$I5)</f>
        <v>0</v>
      </c>
      <c r="M5" s="41">
        <f>COUNTIF(F:F,$I5)</f>
        <v>3</v>
      </c>
      <c r="N5" s="41">
        <f>COUNTIF(G:G,$I5)</f>
        <v>5</v>
      </c>
      <c r="P5"/>
      <c r="Q5"/>
      <c r="R5"/>
      <c r="S5"/>
      <c r="T5"/>
      <c r="U5"/>
      <c r="V5"/>
      <c r="W5"/>
    </row>
    <row r="6" spans="1:32" x14ac:dyDescent="0.55000000000000004">
      <c r="A6" s="2">
        <v>9</v>
      </c>
      <c r="B6" s="4">
        <v>45560</v>
      </c>
      <c r="C6" s="2">
        <v>2</v>
      </c>
      <c r="D6" s="2">
        <v>3</v>
      </c>
      <c r="E6" s="2">
        <v>3</v>
      </c>
      <c r="F6" s="2">
        <v>3</v>
      </c>
      <c r="G6" s="2">
        <v>3</v>
      </c>
      <c r="I6" s="7">
        <v>2</v>
      </c>
      <c r="J6" s="41">
        <f>COUNTIF(C:C,$I6)</f>
        <v>10</v>
      </c>
      <c r="K6" s="41">
        <f>COUNTIF(D:D,$I6)</f>
        <v>4</v>
      </c>
      <c r="L6" s="41">
        <f>COUNTIF(E:E,$I6)</f>
        <v>5</v>
      </c>
      <c r="M6" s="41">
        <f>COUNTIF(F:F,$I6)</f>
        <v>4</v>
      </c>
      <c r="N6" s="41">
        <f>COUNTIF(G:G,$I6)</f>
        <v>4</v>
      </c>
      <c r="P6"/>
      <c r="Q6"/>
      <c r="R6"/>
      <c r="S6"/>
      <c r="T6"/>
      <c r="U6"/>
      <c r="V6"/>
      <c r="W6"/>
    </row>
    <row r="7" spans="1:32" x14ac:dyDescent="0.55000000000000004">
      <c r="A7" s="2">
        <v>10</v>
      </c>
      <c r="B7" s="4">
        <v>45560</v>
      </c>
      <c r="C7" s="2">
        <v>3</v>
      </c>
      <c r="D7" s="2">
        <v>3</v>
      </c>
      <c r="E7" s="2">
        <v>3</v>
      </c>
      <c r="F7" s="2">
        <v>5</v>
      </c>
      <c r="G7" s="2">
        <v>3</v>
      </c>
      <c r="I7" s="7">
        <v>3</v>
      </c>
      <c r="J7" s="41">
        <f>COUNTIF(C:C,$I7)</f>
        <v>10</v>
      </c>
      <c r="K7" s="41">
        <f>COUNTIF(D:D,$I7)</f>
        <v>10</v>
      </c>
      <c r="L7" s="41">
        <f>COUNTIF(E:E,$I7)</f>
        <v>18</v>
      </c>
      <c r="M7" s="41">
        <f>COUNTIF(F:F,$I7)</f>
        <v>11</v>
      </c>
      <c r="N7" s="41">
        <f>COUNTIF(G:G,$I7)</f>
        <v>14</v>
      </c>
      <c r="P7"/>
      <c r="Q7"/>
      <c r="R7"/>
      <c r="S7"/>
      <c r="T7"/>
      <c r="U7"/>
      <c r="V7"/>
      <c r="W7"/>
    </row>
    <row r="8" spans="1:32" x14ac:dyDescent="0.55000000000000004">
      <c r="A8" s="2">
        <v>11</v>
      </c>
      <c r="B8" s="4">
        <v>45586</v>
      </c>
      <c r="C8" s="2">
        <v>2</v>
      </c>
      <c r="D8" s="2">
        <v>1</v>
      </c>
      <c r="E8" s="2">
        <v>2</v>
      </c>
      <c r="F8" s="2"/>
      <c r="G8" s="2"/>
      <c r="I8" s="7">
        <v>4</v>
      </c>
      <c r="J8" s="41">
        <f>COUNTIF(C:C,$I8)</f>
        <v>1</v>
      </c>
      <c r="K8" s="41">
        <f>COUNTIF(D:D,$I8)</f>
        <v>5</v>
      </c>
      <c r="L8" s="41">
        <f>COUNTIF(E:E,$I8)</f>
        <v>3</v>
      </c>
      <c r="M8" s="41">
        <f>COUNTIF(F:F,$I8)</f>
        <v>5</v>
      </c>
      <c r="N8" s="41">
        <f>COUNTIF(G:G,$I8)</f>
        <v>3</v>
      </c>
      <c r="P8"/>
      <c r="Q8"/>
      <c r="R8"/>
      <c r="S8"/>
      <c r="T8"/>
      <c r="U8"/>
      <c r="V8"/>
      <c r="W8"/>
    </row>
    <row r="9" spans="1:32" x14ac:dyDescent="0.55000000000000004">
      <c r="A9" s="2">
        <v>12</v>
      </c>
      <c r="B9" s="4">
        <v>45586</v>
      </c>
      <c r="C9" s="2">
        <v>3</v>
      </c>
      <c r="D9" s="2">
        <v>2</v>
      </c>
      <c r="E9" s="2">
        <v>3</v>
      </c>
      <c r="F9" s="2">
        <v>2</v>
      </c>
      <c r="G9" s="2">
        <v>2</v>
      </c>
      <c r="I9" s="7">
        <v>5</v>
      </c>
      <c r="J9" s="41">
        <f>COUNTIF(C:C,$I9)</f>
        <v>3</v>
      </c>
      <c r="K9" s="41">
        <f>COUNTIF(D:D,$I9)</f>
        <v>3</v>
      </c>
      <c r="L9" s="41">
        <f>COUNTIF(E:E,$I9)</f>
        <v>3</v>
      </c>
      <c r="M9" s="41">
        <f>COUNTIF(F:F,$I9)</f>
        <v>5</v>
      </c>
      <c r="N9" s="41">
        <f>COUNTIF(G:G,$I9)</f>
        <v>2</v>
      </c>
      <c r="P9"/>
      <c r="Q9"/>
      <c r="R9"/>
    </row>
    <row r="10" spans="1:32" ht="28.8" x14ac:dyDescent="0.55000000000000004">
      <c r="A10" s="2">
        <v>13</v>
      </c>
      <c r="B10" s="4">
        <v>45586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I10" s="40" t="s">
        <v>55</v>
      </c>
      <c r="J10" s="42">
        <f>SUM(J5:J9)</f>
        <v>29</v>
      </c>
      <c r="K10" s="42">
        <f t="shared" ref="K10:N10" si="0">SUM(K5:K9)</f>
        <v>29</v>
      </c>
      <c r="L10" s="42">
        <f t="shared" si="0"/>
        <v>29</v>
      </c>
      <c r="M10" s="42">
        <f t="shared" si="0"/>
        <v>28</v>
      </c>
      <c r="N10" s="42">
        <f t="shared" si="0"/>
        <v>28</v>
      </c>
      <c r="P10"/>
      <c r="Q10"/>
      <c r="R10"/>
    </row>
    <row r="11" spans="1:32" x14ac:dyDescent="0.55000000000000004">
      <c r="A11" s="2">
        <v>14</v>
      </c>
      <c r="B11" s="4">
        <v>45586</v>
      </c>
      <c r="C11" s="2">
        <v>4</v>
      </c>
      <c r="D11" s="2">
        <v>3</v>
      </c>
      <c r="E11" s="2">
        <v>3</v>
      </c>
      <c r="F11" s="2">
        <v>3</v>
      </c>
      <c r="G11" s="2">
        <v>3</v>
      </c>
      <c r="I11" s="3" t="s">
        <v>56</v>
      </c>
      <c r="J11" s="43">
        <v>2</v>
      </c>
      <c r="K11" s="44">
        <v>3</v>
      </c>
      <c r="L11" s="44">
        <v>3</v>
      </c>
      <c r="M11" s="44">
        <v>3</v>
      </c>
      <c r="N11" s="44">
        <v>3</v>
      </c>
      <c r="P11"/>
      <c r="Q11"/>
      <c r="R11"/>
    </row>
    <row r="12" spans="1:32" x14ac:dyDescent="0.55000000000000004">
      <c r="A12" s="2">
        <v>15</v>
      </c>
      <c r="B12" s="4">
        <v>45586</v>
      </c>
      <c r="C12" s="2">
        <v>5</v>
      </c>
      <c r="D12" s="2">
        <v>4</v>
      </c>
      <c r="E12" s="2">
        <v>5</v>
      </c>
      <c r="F12" s="2">
        <v>4</v>
      </c>
      <c r="G12" s="2">
        <v>4</v>
      </c>
      <c r="I12" s="3" t="s">
        <v>57</v>
      </c>
      <c r="J12" s="45">
        <f>(J5*1 + J6*2 + J7*3 +J8*4 + J9*5) / J10</f>
        <v>2.5517241379310347</v>
      </c>
      <c r="K12" s="45">
        <f t="shared" ref="K12:N12" si="1">(K5*1 + K6*2 + K7*3 +K8*4 + K9*5) / K10</f>
        <v>2.7586206896551726</v>
      </c>
      <c r="L12" s="45">
        <f t="shared" si="1"/>
        <v>3.1379310344827585</v>
      </c>
      <c r="M12" s="45">
        <f t="shared" si="1"/>
        <v>3.1785714285714284</v>
      </c>
      <c r="N12" s="45">
        <f t="shared" si="1"/>
        <v>2.75</v>
      </c>
      <c r="P12"/>
      <c r="Q12"/>
      <c r="R12"/>
    </row>
    <row r="13" spans="1:32" x14ac:dyDescent="0.55000000000000004">
      <c r="A13" s="2">
        <v>16</v>
      </c>
      <c r="B13" s="4">
        <v>45586</v>
      </c>
      <c r="C13" s="2">
        <v>5</v>
      </c>
      <c r="D13" s="2">
        <v>4</v>
      </c>
      <c r="E13" s="2">
        <v>5</v>
      </c>
      <c r="F13" s="2">
        <v>5</v>
      </c>
      <c r="G13" s="2">
        <v>5</v>
      </c>
      <c r="P13"/>
      <c r="Q13"/>
      <c r="R13"/>
    </row>
    <row r="14" spans="1:32" x14ac:dyDescent="0.55000000000000004">
      <c r="A14" s="2">
        <v>17</v>
      </c>
      <c r="B14" s="4">
        <v>45751</v>
      </c>
      <c r="C14" s="2">
        <v>3</v>
      </c>
      <c r="D14" s="2">
        <v>3</v>
      </c>
      <c r="E14" s="2">
        <v>4</v>
      </c>
      <c r="F14" s="2">
        <v>2</v>
      </c>
      <c r="G14" s="2">
        <v>3</v>
      </c>
      <c r="P14"/>
      <c r="Q14"/>
      <c r="R14"/>
    </row>
    <row r="15" spans="1:32" x14ac:dyDescent="0.55000000000000004">
      <c r="A15" s="2">
        <v>18</v>
      </c>
      <c r="B15" s="4">
        <v>45751</v>
      </c>
      <c r="C15" s="2">
        <v>2</v>
      </c>
      <c r="D15" s="2">
        <v>1</v>
      </c>
      <c r="E15" s="2">
        <v>2</v>
      </c>
      <c r="F15" s="2">
        <v>1</v>
      </c>
      <c r="G15" s="2">
        <v>2</v>
      </c>
      <c r="P15"/>
      <c r="Q15"/>
      <c r="R15"/>
    </row>
    <row r="16" spans="1:32" x14ac:dyDescent="0.55000000000000004">
      <c r="A16" s="2">
        <v>19</v>
      </c>
      <c r="B16" s="4">
        <v>45751</v>
      </c>
      <c r="C16" s="2">
        <v>3</v>
      </c>
      <c r="D16" s="2">
        <v>1</v>
      </c>
      <c r="E16" s="2">
        <v>3</v>
      </c>
      <c r="F16" s="2">
        <v>3</v>
      </c>
      <c r="G16" s="2">
        <v>3</v>
      </c>
      <c r="P16"/>
      <c r="Q16"/>
      <c r="R16"/>
    </row>
    <row r="17" spans="1:18" x14ac:dyDescent="0.55000000000000004">
      <c r="A17" s="2">
        <v>20</v>
      </c>
      <c r="B17" s="4">
        <v>45751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P17"/>
      <c r="Q17"/>
      <c r="R17"/>
    </row>
    <row r="18" spans="1:18" x14ac:dyDescent="0.55000000000000004">
      <c r="A18" s="2">
        <v>21</v>
      </c>
      <c r="B18" s="4">
        <v>45751</v>
      </c>
      <c r="C18" s="2">
        <v>2</v>
      </c>
      <c r="D18" s="2">
        <v>3</v>
      </c>
      <c r="E18" s="2">
        <v>3</v>
      </c>
      <c r="F18" s="2">
        <v>3</v>
      </c>
      <c r="G18" s="2">
        <v>3</v>
      </c>
      <c r="P18"/>
      <c r="Q18"/>
      <c r="R18"/>
    </row>
    <row r="19" spans="1:18" x14ac:dyDescent="0.55000000000000004">
      <c r="A19" s="2">
        <v>22</v>
      </c>
      <c r="B19" s="4">
        <v>45751</v>
      </c>
      <c r="C19" s="2">
        <v>3</v>
      </c>
      <c r="D19" s="2">
        <v>2</v>
      </c>
      <c r="E19" s="2">
        <v>3</v>
      </c>
      <c r="F19" s="2">
        <v>4</v>
      </c>
      <c r="G19" s="2">
        <v>3</v>
      </c>
    </row>
    <row r="20" spans="1:18" x14ac:dyDescent="0.55000000000000004">
      <c r="A20" s="2">
        <v>23</v>
      </c>
      <c r="B20" s="4">
        <v>45751</v>
      </c>
      <c r="C20" s="2">
        <v>3</v>
      </c>
      <c r="D20" s="2">
        <v>5</v>
      </c>
      <c r="E20" s="2">
        <v>3</v>
      </c>
      <c r="F20" s="2">
        <v>3</v>
      </c>
      <c r="G20" s="2">
        <v>3</v>
      </c>
    </row>
    <row r="21" spans="1:18" x14ac:dyDescent="0.55000000000000004">
      <c r="A21" s="2">
        <v>24</v>
      </c>
      <c r="B21" s="4">
        <v>45751</v>
      </c>
      <c r="C21" s="2">
        <v>3</v>
      </c>
      <c r="D21" s="2">
        <v>5</v>
      </c>
      <c r="E21" s="2">
        <v>3</v>
      </c>
      <c r="F21" s="2">
        <v>3</v>
      </c>
      <c r="G21" s="2">
        <v>3</v>
      </c>
    </row>
    <row r="22" spans="1:18" x14ac:dyDescent="0.55000000000000004">
      <c r="A22" s="2">
        <v>25</v>
      </c>
      <c r="B22" s="4">
        <v>45751</v>
      </c>
      <c r="C22" s="2">
        <v>3</v>
      </c>
      <c r="D22" s="2">
        <v>4</v>
      </c>
      <c r="E22" s="2">
        <v>4</v>
      </c>
      <c r="F22" s="2">
        <v>2</v>
      </c>
      <c r="G22" s="2">
        <v>3</v>
      </c>
    </row>
    <row r="23" spans="1:18" x14ac:dyDescent="0.55000000000000004">
      <c r="A23" s="2">
        <v>26</v>
      </c>
      <c r="B23" s="4">
        <v>45751</v>
      </c>
      <c r="C23" s="2">
        <v>1</v>
      </c>
      <c r="D23" s="2">
        <v>3</v>
      </c>
      <c r="E23" s="2">
        <v>3</v>
      </c>
      <c r="F23" s="2">
        <v>5</v>
      </c>
      <c r="G23" s="2">
        <v>3</v>
      </c>
    </row>
    <row r="24" spans="1:18" x14ac:dyDescent="0.55000000000000004">
      <c r="A24" s="2">
        <v>27</v>
      </c>
      <c r="B24" s="4">
        <v>45751</v>
      </c>
      <c r="C24" s="2">
        <v>2</v>
      </c>
      <c r="D24" s="2">
        <v>1</v>
      </c>
      <c r="E24" s="2">
        <v>3</v>
      </c>
      <c r="F24" s="2">
        <v>3</v>
      </c>
      <c r="G24" s="2">
        <v>2</v>
      </c>
    </row>
    <row r="25" spans="1:18" x14ac:dyDescent="0.55000000000000004">
      <c r="A25" s="2">
        <v>28</v>
      </c>
      <c r="B25" s="4">
        <v>45751</v>
      </c>
      <c r="C25" s="2">
        <v>2</v>
      </c>
      <c r="D25" s="2">
        <v>3</v>
      </c>
      <c r="E25" s="2">
        <v>2</v>
      </c>
      <c r="F25" s="2">
        <v>4</v>
      </c>
      <c r="G25" s="2">
        <v>4</v>
      </c>
    </row>
    <row r="26" spans="1:18" x14ac:dyDescent="0.55000000000000004">
      <c r="A26" s="2">
        <v>29</v>
      </c>
      <c r="B26" s="4">
        <v>45751</v>
      </c>
      <c r="C26" s="2">
        <v>1</v>
      </c>
      <c r="D26" s="2">
        <v>3</v>
      </c>
      <c r="E26" s="2">
        <v>3</v>
      </c>
      <c r="F26" s="2">
        <v>4</v>
      </c>
      <c r="G26" s="2">
        <v>1</v>
      </c>
    </row>
    <row r="27" spans="1:18" x14ac:dyDescent="0.55000000000000004">
      <c r="A27" s="2">
        <v>30</v>
      </c>
      <c r="B27" s="4">
        <v>45751</v>
      </c>
      <c r="C27" s="2">
        <v>1</v>
      </c>
      <c r="D27" s="2">
        <v>4</v>
      </c>
      <c r="E27" s="2">
        <v>3</v>
      </c>
      <c r="F27" s="2">
        <v>3</v>
      </c>
      <c r="G27" s="2">
        <v>2</v>
      </c>
    </row>
    <row r="28" spans="1:18" x14ac:dyDescent="0.55000000000000004">
      <c r="A28" s="2">
        <v>31</v>
      </c>
      <c r="B28" s="4">
        <v>45751</v>
      </c>
      <c r="C28" s="2">
        <v>1</v>
      </c>
      <c r="D28" s="2">
        <v>1</v>
      </c>
      <c r="E28" s="2">
        <v>3</v>
      </c>
      <c r="F28" s="2">
        <v>3</v>
      </c>
      <c r="G28" s="2">
        <v>3</v>
      </c>
    </row>
    <row r="29" spans="1:18" x14ac:dyDescent="0.55000000000000004">
      <c r="A29" s="2">
        <v>32</v>
      </c>
      <c r="B29" s="4">
        <v>45751</v>
      </c>
      <c r="C29" s="2">
        <v>2</v>
      </c>
      <c r="D29" s="2">
        <v>4</v>
      </c>
      <c r="E29" s="2">
        <v>4</v>
      </c>
      <c r="F29" s="2">
        <v>5</v>
      </c>
      <c r="G29" s="2">
        <v>4</v>
      </c>
    </row>
    <row r="30" spans="1:18" x14ac:dyDescent="0.55000000000000004">
      <c r="A30" s="2">
        <v>33</v>
      </c>
      <c r="B30" s="4">
        <v>45751</v>
      </c>
      <c r="C30" s="2">
        <v>3</v>
      </c>
      <c r="D30" s="2">
        <v>3</v>
      </c>
      <c r="E30" s="2">
        <v>3</v>
      </c>
      <c r="F30" s="2">
        <v>4</v>
      </c>
      <c r="G30" s="2">
        <v>1</v>
      </c>
    </row>
    <row r="31" spans="1:18" x14ac:dyDescent="0.55000000000000004">
      <c r="A31" s="2"/>
      <c r="B31" s="4"/>
      <c r="C31" s="2"/>
      <c r="D31" s="2"/>
      <c r="E31" s="2"/>
      <c r="F31" s="2"/>
      <c r="G31" s="2"/>
    </row>
    <row r="32" spans="1:18" x14ac:dyDescent="0.55000000000000004">
      <c r="A32" s="2"/>
      <c r="B32" s="4"/>
      <c r="C32" s="2"/>
      <c r="D32" s="2"/>
      <c r="E32" s="2"/>
      <c r="F32" s="2"/>
      <c r="G32" s="2"/>
    </row>
    <row r="33" spans="1:7" x14ac:dyDescent="0.55000000000000004">
      <c r="A33" s="2"/>
      <c r="B33" s="4"/>
      <c r="C33" s="2"/>
      <c r="D33" s="2"/>
      <c r="E33" s="2"/>
      <c r="F33" s="2"/>
      <c r="G33" s="2"/>
    </row>
    <row r="34" spans="1:7" x14ac:dyDescent="0.55000000000000004">
      <c r="A34" s="2"/>
      <c r="B34" s="4"/>
      <c r="C34" s="2"/>
      <c r="D34" s="2"/>
      <c r="E34" s="2"/>
      <c r="F34" s="2"/>
      <c r="G34" s="2"/>
    </row>
    <row r="35" spans="1:7" x14ac:dyDescent="0.55000000000000004">
      <c r="A35" s="2"/>
      <c r="B35" s="4"/>
      <c r="C35" s="2"/>
      <c r="D35" s="2"/>
      <c r="E35" s="2"/>
      <c r="F35" s="2"/>
      <c r="G35" s="2"/>
    </row>
    <row r="36" spans="1:7" x14ac:dyDescent="0.55000000000000004">
      <c r="A36" s="2"/>
      <c r="B36" s="4"/>
      <c r="C36" s="2"/>
      <c r="D36" s="2"/>
      <c r="E36" s="2"/>
      <c r="F36" s="2"/>
      <c r="G36" s="2"/>
    </row>
    <row r="37" spans="1:7" x14ac:dyDescent="0.55000000000000004">
      <c r="A37" s="2"/>
      <c r="B37" s="4"/>
      <c r="C37" s="2"/>
      <c r="D37" s="2"/>
      <c r="E37" s="2"/>
      <c r="F37" s="2"/>
      <c r="G37" s="2"/>
    </row>
    <row r="38" spans="1:7" x14ac:dyDescent="0.55000000000000004">
      <c r="A38" s="2"/>
      <c r="B38" s="4"/>
      <c r="C38" s="2"/>
      <c r="D38" s="2"/>
      <c r="E38" s="2"/>
      <c r="F38" s="2"/>
      <c r="G38" s="2"/>
    </row>
    <row r="39" spans="1:7" x14ac:dyDescent="0.55000000000000004">
      <c r="A39" s="2"/>
      <c r="B39" s="4"/>
      <c r="C39" s="2"/>
      <c r="D39" s="2"/>
      <c r="E39" s="2"/>
      <c r="F39" s="2"/>
      <c r="G39" s="2"/>
    </row>
    <row r="40" spans="1:7" x14ac:dyDescent="0.55000000000000004">
      <c r="A40" s="2"/>
      <c r="B40" s="3"/>
      <c r="C40" s="2"/>
      <c r="D40" s="2"/>
      <c r="E40" s="2"/>
      <c r="F40" s="2"/>
      <c r="G40" s="2"/>
    </row>
  </sheetData>
  <conditionalFormatting sqref="I5:I9">
    <cfRule type="colorScale" priority="2">
      <colorScale>
        <cfvo type="min"/>
        <cfvo type="max"/>
        <color rgb="FFFFEF9C"/>
        <color rgb="FF63BE7B"/>
      </colorScale>
    </cfRule>
  </conditionalFormatting>
  <conditionalFormatting sqref="J12:N12">
    <cfRule type="colorScale" priority="1">
      <colorScale>
        <cfvo type="min"/>
        <cfvo type="max"/>
        <color rgb="FFFFEF9C"/>
        <color rgb="FF63BE7B"/>
      </colorScale>
    </cfRule>
  </conditionalFormatting>
  <hyperlinks>
    <hyperlink ref="J1" r:id="rId1" xr:uid="{8EEC555C-C311-4668-9F7C-EAAEAA7FAA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3C0-0FF3-447A-A2BB-9B38757142E3}">
  <dimension ref="A1:A6"/>
  <sheetViews>
    <sheetView workbookViewId="0">
      <selection activeCell="A7" sqref="A7"/>
    </sheetView>
  </sheetViews>
  <sheetFormatPr defaultRowHeight="14.4" x14ac:dyDescent="0.55000000000000004"/>
  <sheetData>
    <row r="1" spans="1:1" x14ac:dyDescent="0.55000000000000004">
      <c r="A1" t="s">
        <v>51</v>
      </c>
    </row>
    <row r="3" spans="1:1" ht="17.399999999999999" x14ac:dyDescent="0.55000000000000004">
      <c r="A3" s="39" t="s">
        <v>52</v>
      </c>
    </row>
    <row r="5" spans="1:1" x14ac:dyDescent="0.55000000000000004">
      <c r="A5" t="s">
        <v>53</v>
      </c>
    </row>
    <row r="6" spans="1:1" x14ac:dyDescent="0.55000000000000004">
      <c r="A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9DC986263504AA0B8DD9B68785395" ma:contentTypeVersion="15" ma:contentTypeDescription="Create a new document." ma:contentTypeScope="" ma:versionID="49f8561b45034febdc3d690c7716824d">
  <xsd:schema xmlns:xsd="http://www.w3.org/2001/XMLSchema" xmlns:xs="http://www.w3.org/2001/XMLSchema" xmlns:p="http://schemas.microsoft.com/office/2006/metadata/properties" xmlns:ns2="f01c4d2e-933e-4e6a-b112-480bd95bb3c8" xmlns:ns3="97de165b-36e9-456c-8d92-3be549935da4" targetNamespace="http://schemas.microsoft.com/office/2006/metadata/properties" ma:root="true" ma:fieldsID="b344a7552ba1eb47ae98fc8fdcd076ac" ns2:_="" ns3:_="">
    <xsd:import namespace="f01c4d2e-933e-4e6a-b112-480bd95bb3c8"/>
    <xsd:import namespace="97de165b-36e9-456c-8d92-3be549935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c4d2e-933e-4e6a-b112-480bd95bb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a5c1ae3-1fde-45eb-b25e-85986f4bb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e165b-36e9-456c-8d92-3be549935d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8f8479d-882b-4e2c-8d41-d3a895c4bf68}" ma:internalName="TaxCatchAll" ma:showField="CatchAllData" ma:web="97de165b-36e9-456c-8d92-3be549935d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de165b-36e9-456c-8d92-3be549935da4" xsi:nil="true"/>
    <lcf76f155ced4ddcb4097134ff3c332f xmlns="f01c4d2e-933e-4e6a-b112-480bd95bb3c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EEAED7-1947-4DAD-B8C4-DF3E57CBD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c4d2e-933e-4e6a-b112-480bd95bb3c8"/>
    <ds:schemaRef ds:uri="97de165b-36e9-456c-8d92-3be549935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C2773D-50B5-468A-BA57-5F645F7E97D4}">
  <ds:schemaRefs>
    <ds:schemaRef ds:uri="http://schemas.microsoft.com/office/2006/metadata/properties"/>
    <ds:schemaRef ds:uri="http://schemas.microsoft.com/office/infopath/2007/PartnerControls"/>
    <ds:schemaRef ds:uri="97de165b-36e9-456c-8d92-3be549935da4"/>
    <ds:schemaRef ds:uri="f01c4d2e-933e-4e6a-b112-480bd95bb3c8"/>
  </ds:schemaRefs>
</ds:datastoreItem>
</file>

<file path=customXml/itemProps3.xml><?xml version="1.0" encoding="utf-8"?>
<ds:datastoreItem xmlns:ds="http://schemas.openxmlformats.org/officeDocument/2006/customXml" ds:itemID="{CD3D7E7D-5198-4D44-A1F5-48DD1057B8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 1 metrics</vt:lpstr>
      <vt:lpstr>Survey Results</vt:lpstr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Kaz Lyon</dc:creator>
  <cp:keywords/>
  <dc:description/>
  <cp:lastModifiedBy>Pauline Data Ward</cp:lastModifiedBy>
  <cp:revision/>
  <dcterms:created xsi:type="dcterms:W3CDTF">2024-09-03T11:57:28Z</dcterms:created>
  <dcterms:modified xsi:type="dcterms:W3CDTF">2025-04-12T12:35:36Z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0x0101002DB9DC986263504AA0B8DD9B68785395</vt:lpwstr>
  </property>
  <property fmtid="{D5CDD505-2E9C-101B-9397-08002B2CF9AE}" pid="3" name="MediaServiceImageTags">
    <vt:lpwstr/>
  </property>
</Properties>
</file>